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AnChuyenNhanhCongNghePhanMem\DoAnChuyenNganhCongNghePhanMem\docs\BT_Tuan06\"/>
    </mc:Choice>
  </mc:AlternateContent>
  <xr:revisionPtr revIDLastSave="0" documentId="8_{A2D88867-BB7C-416D-B9B3-A140D160667A}" xr6:coauthVersionLast="47" xr6:coauthVersionMax="47" xr10:uidLastSave="{00000000-0000-0000-0000-000000000000}"/>
  <bookViews>
    <workbookView xWindow="-120" yWindow="-120" windowWidth="29040" windowHeight="15720" xr2:uid="{B8962F6D-2A62-413B-8704-1364DA2898C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" i="1" l="1"/>
  <c r="F36" i="1"/>
  <c r="F35" i="1"/>
  <c r="D36" i="1"/>
  <c r="D35" i="1"/>
  <c r="B36" i="1"/>
  <c r="B35" i="1"/>
  <c r="H36" i="1" l="1"/>
</calcChain>
</file>

<file path=xl/sharedStrings.xml><?xml version="1.0" encoding="utf-8"?>
<sst xmlns="http://schemas.openxmlformats.org/spreadsheetml/2006/main" count="26" uniqueCount="26">
  <si>
    <t>BẢNG PHÂN CÔNG CÔNG VIỆC NHÓM</t>
  </si>
  <si>
    <t>Tên dự án</t>
  </si>
  <si>
    <t>Sprint:</t>
  </si>
  <si>
    <t>Ngày bắt đầu:</t>
  </si>
  <si>
    <t>Trưởng nhóm:</t>
  </si>
  <si>
    <t>Nguyễn Như Ý</t>
  </si>
  <si>
    <t>Công việc / User Story</t>
  </si>
  <si>
    <t>Mô tả chi tiết</t>
  </si>
  <si>
    <t>Người thực hiện</t>
  </si>
  <si>
    <t>Ưu tiên</t>
  </si>
  <si>
    <t>Story Points</t>
  </si>
  <si>
    <t>Ngày bắt đầu</t>
  </si>
  <si>
    <t>Hạn hoàn thành</t>
  </si>
  <si>
    <t>Trạng thái</t>
  </si>
  <si>
    <t>Ghi chú</t>
  </si>
  <si>
    <t>#</t>
  </si>
  <si>
    <t>Thống kê nhanh</t>
  </si>
  <si>
    <t>Tổng số công việc:</t>
  </si>
  <si>
    <t>Tổng Story Points:</t>
  </si>
  <si>
    <t>Đã hoàn thành:</t>
  </si>
  <si>
    <t>Đang thực hiện:</t>
  </si>
  <si>
    <t>Chờ review:</t>
  </si>
  <si>
    <t>Bị chặn:</t>
  </si>
  <si>
    <t>Độ ưu tiên cao:</t>
  </si>
  <si>
    <t>Tỉ lệ đã hoàn thành:</t>
  </si>
  <si>
    <t>Xây dựng website quản lý tổ chức sự kiện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</si>
</sst>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Times New Roman"/>
      <family val="1"/>
    </font>
    <font>
      <sz val="11"/>
      <color theme="1"/>
      <name val="Times New Roman"/>
      <family val="1"/>
    </font>
    <font>
      <sz val="9"/>
      <color rgb="FFA31515"/>
      <name val="Times New Roman"/>
      <family val="1"/>
    </font>
    <font>
      <b/>
      <sz val="2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3" fillId="2" borderId="1" xfId="0" applyFont="1" applyFill="1" applyBorder="1"/>
    <xf numFmtId="0" fontId="3" fillId="0" borderId="1" xfId="0" applyFont="1" applyBorder="1" applyAlignment="1">
      <alignment horizontal="center"/>
    </xf>
    <xf numFmtId="0" fontId="4" fillId="2" borderId="1" xfId="0" applyFont="1" applyFill="1" applyBorder="1"/>
    <xf numFmtId="14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4" fillId="0" borderId="1" xfId="1" applyFont="1" applyBorder="1" applyAlignment="1">
      <alignment horizontal="center"/>
    </xf>
    <xf numFmtId="14" fontId="3" fillId="0" borderId="1" xfId="0" applyNumberFormat="1" applyFont="1" applyBorder="1"/>
    <xf numFmtId="0" fontId="3" fillId="0" borderId="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 vertical="top"/>
    </xf>
    <xf numFmtId="0" fontId="4" fillId="0" borderId="1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1F37-3E5A-47C3-B084-E81DBF4D0641}">
  <dimension ref="A1:J36"/>
  <sheetViews>
    <sheetView tabSelected="1" topLeftCell="A7" workbookViewId="0">
      <selection activeCell="B38" sqref="B38"/>
    </sheetView>
  </sheetViews>
  <sheetFormatPr defaultRowHeight="15" x14ac:dyDescent="0.25"/>
  <cols>
    <col min="1" max="1" width="20.42578125" style="3" customWidth="1"/>
    <col min="2" max="2" width="27.42578125" style="3" customWidth="1"/>
    <col min="3" max="3" width="27.85546875" style="3" customWidth="1"/>
    <col min="4" max="4" width="21" style="3" customWidth="1"/>
    <col min="5" max="5" width="16" style="3" customWidth="1"/>
    <col min="6" max="6" width="23.42578125" style="3" customWidth="1"/>
    <col min="7" max="7" width="20" style="3" customWidth="1"/>
    <col min="8" max="8" width="22.140625" style="3" customWidth="1"/>
    <col min="9" max="9" width="20.28515625" style="3" customWidth="1"/>
    <col min="10" max="10" width="23.28515625" style="3" customWidth="1"/>
    <col min="11" max="16384" width="9.140625" style="3"/>
  </cols>
  <sheetData>
    <row r="1" spans="1:10" ht="26.25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8" customHeight="1" x14ac:dyDescent="0.25">
      <c r="A2" s="4" t="s">
        <v>1</v>
      </c>
      <c r="B2" s="5" t="s">
        <v>25</v>
      </c>
      <c r="C2" s="5"/>
      <c r="D2" s="5"/>
      <c r="E2" s="5"/>
      <c r="F2" s="6" t="s">
        <v>2</v>
      </c>
      <c r="G2" s="5">
        <v>2</v>
      </c>
      <c r="H2" s="5"/>
      <c r="I2" s="5"/>
      <c r="J2" s="5"/>
    </row>
    <row r="3" spans="1:10" ht="21" customHeight="1" x14ac:dyDescent="0.25">
      <c r="A3" s="6" t="s">
        <v>3</v>
      </c>
      <c r="B3" s="7">
        <v>46045</v>
      </c>
      <c r="C3" s="7"/>
      <c r="D3" s="7"/>
      <c r="E3" s="7"/>
      <c r="F3" s="6" t="s">
        <v>4</v>
      </c>
      <c r="G3" s="5" t="s">
        <v>5</v>
      </c>
      <c r="H3" s="5"/>
      <c r="I3" s="5"/>
      <c r="J3" s="5"/>
    </row>
    <row r="4" spans="1:10" x14ac:dyDescent="0.25">
      <c r="A4" s="8"/>
      <c r="B4" s="9"/>
      <c r="C4" s="9"/>
      <c r="D4" s="9"/>
      <c r="E4" s="9"/>
      <c r="F4" s="9"/>
      <c r="G4" s="9"/>
      <c r="H4" s="9"/>
      <c r="I4" s="9"/>
      <c r="J4" s="10"/>
    </row>
    <row r="5" spans="1:10" x14ac:dyDescent="0.25">
      <c r="A5" s="11" t="s">
        <v>15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  <c r="G5" s="12" t="s">
        <v>11</v>
      </c>
      <c r="H5" s="12" t="s">
        <v>12</v>
      </c>
      <c r="I5" s="12" t="s">
        <v>13</v>
      </c>
      <c r="J5" s="12" t="s">
        <v>14</v>
      </c>
    </row>
    <row r="6" spans="1:10" x14ac:dyDescent="0.25">
      <c r="A6" s="21">
        <v>1</v>
      </c>
      <c r="B6" s="14"/>
      <c r="C6" s="14"/>
      <c r="D6" s="14"/>
      <c r="E6" s="14"/>
      <c r="F6" s="14"/>
      <c r="G6" s="20"/>
      <c r="H6" s="20"/>
      <c r="I6" s="14"/>
      <c r="J6" s="14"/>
    </row>
    <row r="7" spans="1:10" x14ac:dyDescent="0.25">
      <c r="A7" s="21">
        <v>2</v>
      </c>
      <c r="B7" s="14"/>
      <c r="C7" s="14"/>
      <c r="D7" s="14"/>
      <c r="E7" s="14"/>
      <c r="F7" s="14"/>
      <c r="G7" s="20"/>
      <c r="H7" s="20"/>
      <c r="I7" s="14"/>
      <c r="J7" s="14"/>
    </row>
    <row r="8" spans="1:10" x14ac:dyDescent="0.25">
      <c r="A8" s="21">
        <v>3</v>
      </c>
      <c r="B8" s="14"/>
      <c r="C8" s="14"/>
      <c r="D8" s="14"/>
      <c r="E8" s="14"/>
      <c r="F8" s="14"/>
      <c r="G8" s="20"/>
      <c r="H8" s="20"/>
      <c r="I8" s="14"/>
      <c r="J8" s="14"/>
    </row>
    <row r="9" spans="1:10" x14ac:dyDescent="0.25">
      <c r="A9" s="21">
        <v>4</v>
      </c>
      <c r="B9" s="14"/>
      <c r="C9" s="14"/>
      <c r="D9" s="14"/>
      <c r="E9" s="14"/>
      <c r="F9" s="14"/>
      <c r="G9" s="20"/>
      <c r="H9" s="20"/>
      <c r="I9" s="14"/>
      <c r="J9" s="14"/>
    </row>
    <row r="10" spans="1:10" x14ac:dyDescent="0.25">
      <c r="A10" s="21">
        <v>5</v>
      </c>
      <c r="B10" s="14"/>
      <c r="C10" s="14"/>
      <c r="D10" s="14"/>
      <c r="E10" s="14"/>
      <c r="F10" s="14"/>
      <c r="G10" s="20"/>
      <c r="H10" s="20"/>
      <c r="I10" s="14"/>
      <c r="J10" s="14"/>
    </row>
    <row r="11" spans="1:10" x14ac:dyDescent="0.25">
      <c r="A11" s="21">
        <v>6</v>
      </c>
      <c r="B11" s="14"/>
      <c r="C11" s="14"/>
      <c r="D11" s="14"/>
      <c r="E11" s="14"/>
      <c r="F11" s="14"/>
      <c r="G11" s="20"/>
      <c r="H11" s="20"/>
      <c r="I11" s="14"/>
      <c r="J11" s="14"/>
    </row>
    <row r="12" spans="1:10" x14ac:dyDescent="0.25">
      <c r="A12" s="21">
        <v>7</v>
      </c>
      <c r="B12" s="14"/>
      <c r="C12" s="14"/>
      <c r="D12" s="14"/>
      <c r="E12" s="14"/>
      <c r="F12" s="14"/>
      <c r="G12" s="20"/>
      <c r="H12" s="20"/>
      <c r="I12" s="14"/>
      <c r="J12" s="14"/>
    </row>
    <row r="13" spans="1:10" x14ac:dyDescent="0.25">
      <c r="A13" s="21">
        <v>8</v>
      </c>
      <c r="B13" s="14"/>
      <c r="C13" s="14"/>
      <c r="D13" s="14"/>
      <c r="E13" s="14"/>
      <c r="F13" s="14"/>
      <c r="G13" s="20"/>
      <c r="H13" s="20"/>
      <c r="I13" s="14"/>
      <c r="J13" s="14"/>
    </row>
    <row r="14" spans="1:10" x14ac:dyDescent="0.25">
      <c r="A14" s="21">
        <v>9</v>
      </c>
      <c r="B14" s="14"/>
      <c r="C14" s="14"/>
      <c r="D14" s="14"/>
      <c r="E14" s="14"/>
      <c r="F14" s="14"/>
      <c r="G14" s="20"/>
      <c r="H14" s="20"/>
      <c r="I14" s="14"/>
      <c r="J14" s="14"/>
    </row>
    <row r="15" spans="1:10" x14ac:dyDescent="0.25">
      <c r="A15" s="21">
        <v>10</v>
      </c>
      <c r="B15" s="14"/>
      <c r="C15" s="14"/>
      <c r="D15" s="14"/>
      <c r="E15" s="14"/>
      <c r="F15" s="14"/>
      <c r="G15" s="20"/>
      <c r="H15" s="20"/>
      <c r="I15" s="14"/>
      <c r="J15" s="14"/>
    </row>
    <row r="16" spans="1:10" x14ac:dyDescent="0.25">
      <c r="A16" s="21">
        <v>11</v>
      </c>
      <c r="B16" s="14"/>
      <c r="C16" s="14"/>
      <c r="D16" s="14"/>
      <c r="E16" s="14"/>
      <c r="F16" s="14"/>
      <c r="G16" s="20"/>
      <c r="H16" s="20"/>
      <c r="I16" s="14"/>
      <c r="J16" s="14"/>
    </row>
    <row r="17" spans="1:10" x14ac:dyDescent="0.25">
      <c r="A17" s="21">
        <v>12</v>
      </c>
      <c r="B17" s="14"/>
      <c r="C17" s="14"/>
      <c r="D17" s="14"/>
      <c r="E17" s="14"/>
      <c r="F17" s="14"/>
      <c r="G17" s="20"/>
      <c r="H17" s="20"/>
      <c r="I17" s="14"/>
      <c r="J17" s="14"/>
    </row>
    <row r="18" spans="1:10" x14ac:dyDescent="0.25">
      <c r="A18" s="21">
        <v>13</v>
      </c>
      <c r="B18" s="14"/>
      <c r="C18" s="14"/>
      <c r="D18" s="14"/>
      <c r="E18" s="14"/>
      <c r="F18" s="14"/>
      <c r="G18" s="20"/>
      <c r="H18" s="20"/>
      <c r="I18" s="14"/>
      <c r="J18" s="14"/>
    </row>
    <row r="19" spans="1:10" x14ac:dyDescent="0.25">
      <c r="A19" s="21">
        <v>14</v>
      </c>
      <c r="B19" s="14"/>
      <c r="C19" s="14"/>
      <c r="D19" s="14"/>
      <c r="E19" s="14"/>
      <c r="F19" s="14"/>
      <c r="G19" s="20"/>
      <c r="H19" s="20"/>
      <c r="I19" s="14"/>
      <c r="J19" s="14"/>
    </row>
    <row r="20" spans="1:10" x14ac:dyDescent="0.25">
      <c r="A20" s="21">
        <v>15</v>
      </c>
      <c r="B20" s="14"/>
      <c r="C20" s="14"/>
      <c r="D20" s="14"/>
      <c r="E20" s="14"/>
      <c r="F20" s="14"/>
      <c r="G20" s="20"/>
      <c r="H20" s="20"/>
      <c r="I20" s="14"/>
      <c r="J20" s="14"/>
    </row>
    <row r="21" spans="1:10" x14ac:dyDescent="0.25">
      <c r="A21" s="21">
        <v>16</v>
      </c>
      <c r="B21" s="14"/>
      <c r="C21" s="14"/>
      <c r="D21" s="14"/>
      <c r="E21" s="14"/>
      <c r="F21" s="14"/>
      <c r="G21" s="20"/>
      <c r="H21" s="20"/>
      <c r="I21" s="14"/>
      <c r="J21" s="14"/>
    </row>
    <row r="22" spans="1:10" x14ac:dyDescent="0.25">
      <c r="A22" s="21">
        <v>17</v>
      </c>
      <c r="B22" s="14"/>
      <c r="C22" s="14"/>
      <c r="D22" s="14"/>
      <c r="E22" s="14"/>
      <c r="F22" s="14"/>
      <c r="G22" s="20"/>
      <c r="H22" s="20"/>
      <c r="I22" s="14"/>
      <c r="J22" s="14"/>
    </row>
    <row r="23" spans="1:10" x14ac:dyDescent="0.25">
      <c r="A23" s="21">
        <v>18</v>
      </c>
      <c r="B23" s="14"/>
      <c r="C23" s="14"/>
      <c r="D23" s="14"/>
      <c r="E23" s="14"/>
      <c r="F23" s="14"/>
      <c r="G23" s="20"/>
      <c r="H23" s="20"/>
      <c r="I23" s="14"/>
      <c r="J23" s="14"/>
    </row>
    <row r="24" spans="1:10" x14ac:dyDescent="0.25">
      <c r="A24" s="21">
        <v>19</v>
      </c>
      <c r="B24" s="14"/>
      <c r="C24" s="14"/>
      <c r="D24" s="14"/>
      <c r="E24" s="14"/>
      <c r="F24" s="14"/>
      <c r="G24" s="20"/>
      <c r="H24" s="20"/>
      <c r="I24" s="14"/>
      <c r="J24" s="14"/>
    </row>
    <row r="25" spans="1:10" x14ac:dyDescent="0.25">
      <c r="A25" s="21">
        <v>20</v>
      </c>
      <c r="B25" s="14"/>
      <c r="C25" s="14"/>
      <c r="D25" s="14"/>
      <c r="E25" s="14"/>
      <c r="F25" s="14"/>
      <c r="G25" s="20"/>
      <c r="H25" s="20"/>
      <c r="I25" s="14"/>
      <c r="J25" s="14"/>
    </row>
    <row r="26" spans="1:10" x14ac:dyDescent="0.25">
      <c r="A26" s="21">
        <v>21</v>
      </c>
      <c r="B26" s="14"/>
      <c r="C26" s="14"/>
      <c r="D26" s="14"/>
      <c r="E26" s="14"/>
      <c r="F26" s="14"/>
      <c r="G26" s="20"/>
      <c r="H26" s="20"/>
      <c r="I26" s="14"/>
      <c r="J26" s="14"/>
    </row>
    <row r="27" spans="1:10" x14ac:dyDescent="0.25">
      <c r="A27" s="21">
        <v>22</v>
      </c>
      <c r="B27" s="14"/>
      <c r="C27" s="14"/>
      <c r="D27" s="14"/>
      <c r="E27" s="14"/>
      <c r="F27" s="14"/>
      <c r="G27" s="20"/>
      <c r="H27" s="20"/>
      <c r="I27" s="14"/>
      <c r="J27" s="14"/>
    </row>
    <row r="28" spans="1:10" x14ac:dyDescent="0.25">
      <c r="A28" s="21">
        <v>23</v>
      </c>
      <c r="B28" s="14"/>
      <c r="C28" s="14"/>
      <c r="D28" s="14"/>
      <c r="E28" s="14"/>
      <c r="F28" s="14"/>
      <c r="G28" s="20"/>
      <c r="H28" s="20"/>
      <c r="I28" s="14"/>
      <c r="J28" s="14"/>
    </row>
    <row r="29" spans="1:10" x14ac:dyDescent="0.25">
      <c r="A29" s="21">
        <v>24</v>
      </c>
      <c r="B29" s="14"/>
      <c r="C29" s="14"/>
      <c r="D29" s="14"/>
      <c r="E29" s="14"/>
      <c r="F29" s="14"/>
      <c r="G29" s="20"/>
      <c r="H29" s="20"/>
      <c r="I29" s="14"/>
      <c r="J29" s="14"/>
    </row>
    <row r="30" spans="1:10" x14ac:dyDescent="0.25">
      <c r="A30" s="21">
        <v>25</v>
      </c>
      <c r="B30" s="14"/>
      <c r="C30" s="14"/>
      <c r="D30" s="14"/>
      <c r="E30" s="14"/>
      <c r="F30" s="14"/>
      <c r="G30" s="20"/>
      <c r="H30" s="20"/>
      <c r="I30" s="14"/>
      <c r="J30" s="14"/>
    </row>
    <row r="31" spans="1:10" x14ac:dyDescent="0.25">
      <c r="A31" s="13"/>
      <c r="B31" s="14"/>
      <c r="C31" s="14"/>
      <c r="D31" s="14"/>
      <c r="E31" s="14"/>
      <c r="F31" s="14"/>
      <c r="G31" s="14"/>
      <c r="H31" s="14"/>
      <c r="I31" s="14"/>
      <c r="J31" s="14"/>
    </row>
    <row r="32" spans="1:10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</row>
    <row r="33" spans="1:10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 spans="1:10" ht="25.5" x14ac:dyDescent="0.35">
      <c r="A34" s="15" t="s">
        <v>16</v>
      </c>
      <c r="B34" s="16"/>
      <c r="C34" s="16"/>
      <c r="D34" s="16"/>
      <c r="E34" s="16"/>
      <c r="F34" s="16"/>
      <c r="G34" s="16"/>
      <c r="H34" s="16"/>
      <c r="I34" s="16"/>
      <c r="J34" s="17"/>
    </row>
    <row r="35" spans="1:10" x14ac:dyDescent="0.25">
      <c r="A35" s="4" t="s">
        <v>17</v>
      </c>
      <c r="B35" s="22">
        <f>COUNTA(B6:B30)</f>
        <v>0</v>
      </c>
      <c r="C35" s="4" t="s">
        <v>19</v>
      </c>
      <c r="D35" s="13">
        <f>COUNTIF(I6:I30, "✅ Hoàn thành")</f>
        <v>0</v>
      </c>
      <c r="E35" s="4" t="s">
        <v>21</v>
      </c>
      <c r="F35" s="13">
        <f>COUNTIF(I6:I30, "👀 Chờ review")</f>
        <v>0</v>
      </c>
      <c r="G35" s="4" t="s">
        <v>23</v>
      </c>
      <c r="H35" s="18">
        <f>COUNTIF(E6:E30, "*🔴 Cao*")</f>
        <v>0</v>
      </c>
      <c r="I35" s="14"/>
      <c r="J35" s="14"/>
    </row>
    <row r="36" spans="1:10" x14ac:dyDescent="0.25">
      <c r="A36" s="4" t="s">
        <v>18</v>
      </c>
      <c r="B36" s="23">
        <f>SUM(F6:F30)</f>
        <v>0</v>
      </c>
      <c r="C36" s="4" t="s">
        <v>20</v>
      </c>
      <c r="D36" s="13">
        <f>F38</f>
        <v>0</v>
      </c>
      <c r="E36" s="4" t="s">
        <v>22</v>
      </c>
      <c r="F36" s="13">
        <f>COUNTIF(I6:I30, "⚠️ Bị chặn")</f>
        <v>0</v>
      </c>
      <c r="G36" s="4" t="s">
        <v>24</v>
      </c>
      <c r="H36" s="19">
        <f>IF(B35=0, 0, D35/B35)</f>
        <v>0</v>
      </c>
      <c r="I36" s="14"/>
      <c r="J36" s="14"/>
    </row>
  </sheetData>
  <mergeCells count="7">
    <mergeCell ref="A34:J34"/>
    <mergeCell ref="A1:J1"/>
    <mergeCell ref="G2:J2"/>
    <mergeCell ref="B3:E3"/>
    <mergeCell ref="G3:J3"/>
    <mergeCell ref="B2:E2"/>
    <mergeCell ref="A4:J4"/>
  </mergeCells>
  <dataValidations count="3">
    <dataValidation type="list" allowBlank="1" showInputMessage="1" showErrorMessage="1" sqref="E6:E32" xr:uid="{265B49C7-A10F-4DE0-9E60-24CDD792A8D3}">
      <formula1>"🔴 Cao, 🟡 Trung bình, 🟢 Thấp"</formula1>
    </dataValidation>
    <dataValidation type="list" allowBlank="1" showInputMessage="1" showErrorMessage="1" sqref="I6:I32" xr:uid="{5C5CDA1B-2DFF-41F2-8FCD-C6EE0F9EAF63}">
      <formula1>"📋 Chưa bắt đầu, 🔄 Đang làm, 👀 Chờ review, ✅ Hoàn thành, ⚠️ Bị chặn"</formula1>
    </dataValidation>
    <dataValidation type="list" allowBlank="1" showInputMessage="1" showErrorMessage="1" sqref="F6:F30" xr:uid="{FE7A0A6D-3B29-48B4-93B8-9AB854D5930F}">
      <formula1>"1, 2, 3, 5, 8, 13"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2026-03-21T02:18:47Z</dcterms:created>
  <dcterms:modified xsi:type="dcterms:W3CDTF">2026-03-21T03:30:48Z</dcterms:modified>
</cp:coreProperties>
</file>