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DoAnCNCNPM\DoAnChuyenNganhCongNghePhanMem\docs\BT_Tuan07\"/>
    </mc:Choice>
  </mc:AlternateContent>
  <xr:revisionPtr revIDLastSave="0" documentId="13_ncr:1_{D59E3C36-F44F-4B4C-A2F8-9491DAED17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0gvCPf6vfkZvmXtAfk6p0slH1acjTRAYCpd1d2re8AM="/>
    </ext>
  </extLst>
</workbook>
</file>

<file path=xl/calcChain.xml><?xml version="1.0" encoding="utf-8"?>
<calcChain xmlns="http://schemas.openxmlformats.org/spreadsheetml/2006/main">
  <c r="G36" i="1" l="1"/>
  <c r="E36" i="1"/>
  <c r="C36" i="1"/>
  <c r="I35" i="1"/>
  <c r="G35" i="1"/>
  <c r="E35" i="1"/>
  <c r="C35" i="1"/>
  <c r="I36" i="1" l="1"/>
</calcChain>
</file>

<file path=xl/sharedStrings.xml><?xml version="1.0" encoding="utf-8"?>
<sst xmlns="http://schemas.openxmlformats.org/spreadsheetml/2006/main" count="171" uniqueCount="116">
  <si>
    <t>BẢNG PHÂN CÔNG CÔNG VIỆC NHÓM</t>
  </si>
  <si>
    <t>Tên dự án</t>
  </si>
  <si>
    <t>Xây dựng website quản lý tổ chức sự kiện</t>
  </si>
  <si>
    <t>Sprint:</t>
  </si>
  <si>
    <t>1 2 3</t>
  </si>
  <si>
    <t>Ngày bắt đầu:</t>
  </si>
  <si>
    <t>Trưởng nhóm:</t>
  </si>
  <si>
    <t>Nguyễn Như Ý</t>
  </si>
  <si>
    <t>#</t>
  </si>
  <si>
    <t>Công việc / User Story</t>
  </si>
  <si>
    <t>Mô tả chi tiết</t>
  </si>
  <si>
    <t>Người thực hiện</t>
  </si>
  <si>
    <t>Ưu tiên</t>
  </si>
  <si>
    <t>Story Points</t>
  </si>
  <si>
    <t>Ngày bắt đầu</t>
  </si>
  <si>
    <t>Hạn hoàn thành</t>
  </si>
  <si>
    <t>Trạng thái</t>
  </si>
  <si>
    <t>Ghi chú</t>
  </si>
  <si>
    <t>Sprint 1</t>
  </si>
  <si>
    <t>[US-001] Đăng ký tài khoản</t>
  </si>
  <si>
    <t>Cho phép người dùng tạo tài khoản mới bằng email và mật khẩu. Hệ thống kiểm tra trùng email, mã hóa mật khẩu trước khi lưu.</t>
  </si>
  <si>
    <t>Phạm Thanh Nhất</t>
  </si>
  <si>
    <t>🔴 Cao</t>
  </si>
  <si>
    <t>✅ Hoàn thành</t>
  </si>
  <si>
    <t>Có validate email, password được mã hóa bằng bcrypt, test OK</t>
  </si>
  <si>
    <t>[US-002] Đăng nhập hệ thống</t>
  </si>
  <si>
    <t>Người dùng đăng nhập bằng email và mật khẩu. Nếu đúng, hệ thống trả về token xác thực (JWT).</t>
  </si>
  <si>
    <t>Nguyễn Huy Đức</t>
  </si>
  <si>
    <t>Trả về JWT token, kiểm tra email/password, test Postman OK</t>
  </si>
  <si>
    <t>[US-003] Đặt lại mật khẩu</t>
  </si>
  <si>
    <t>Người dùng có thể đổi mật khẩu bằng cách nhập mật khẩu cũ và mật khẩu mới. Hệ thống xác minh trước khi cập nhật.</t>
  </si>
  <si>
    <t>Bùi Vạn Đạt</t>
  </si>
  <si>
    <t>🟡 Trung bình</t>
  </si>
  <si>
    <t>So sánh mật khẩu cũ, cập nhật password mới đã mã hóa</t>
  </si>
  <si>
    <t>[US-004] Đăng xuất hệ thống</t>
  </si>
  <si>
    <t>Người dùng đăng xuất bằng cách xóa token phía client hoặc blacklist token.</t>
  </si>
  <si>
    <t>Huỳnh Trần Sơn Sanh</t>
  </si>
  <si>
    <t>Xử lý phía client (xóa token), hoạt động ổn định</t>
  </si>
  <si>
    <t>[US-019] Phân quyền người dùng</t>
  </si>
  <si>
    <t>Hệ thống phân quyền (admin/orfanizer/user). Quy định quyền truy cập các chức năng khác nhau.</t>
  </si>
  <si>
    <t>Phân quyền basic (admin/user), chưa mở rộng chi tiết</t>
  </si>
  <si>
    <t>[US-021] Xác thực token đăng nhập</t>
  </si>
  <si>
    <t>Kiểm tra token hợp lệ cho các API cần bảo mật. Nếu không hợp lệ thì từ chối truy cập.</t>
  </si>
  <si>
    <t>Middleware kiểm tra JWT, áp dụng cho API bảo mật</t>
  </si>
  <si>
    <t>Sprint 2</t>
  </si>
  <si>
    <t>[US-005] Tạo sự kiện mới</t>
  </si>
  <si>
    <t>Cho phép tạo sự kiện với thông tin như tên, thời gian, địa điểm, mô tả.</t>
  </si>
  <si>
    <t>👀 Chờ review</t>
  </si>
  <si>
    <t>CRUD hoạt động, dữ liệu lưu MySQL, test OK</t>
  </si>
  <si>
    <t>[US-006] Chỉnh sửa thông tin sự kiện</t>
  </si>
  <si>
    <t>Cập nhật thông tin sự kiện đã tạo.</t>
  </si>
  <si>
    <t>Update dữ liệu thành công, cần bổ sung validate</t>
  </si>
  <si>
    <t>[US-007] Xóa sự kiện</t>
  </si>
  <si>
    <t>Xóa sự kiện khỏi hệ thống.</t>
  </si>
  <si>
    <t>🟢 Thấp</t>
  </si>
  <si>
    <t>Xóa thành công, chưa xử lý ràng buộc liên quan</t>
  </si>
  <si>
    <t>[US-008] Xem danh sách sự kiện</t>
  </si>
  <si>
    <t>Hiển thị toàn bộ sự kiện hiện có.</t>
  </si>
  <si>
    <t>Trả về danh sách từ DB, hiển thị frontend OK</t>
  </si>
  <si>
    <t>[US-022] Xem chi tiết sự kiện</t>
  </si>
  <si>
    <t>Hiển thị thông tin chi tiết của một sự kiện cụ thể.</t>
  </si>
  <si>
    <t>Lấy dữ liệu theo ID, hoạt động ổn định</t>
  </si>
  <si>
    <t>[US-023] Tìm kiếm sự kiện</t>
  </si>
  <si>
    <t>Tìm sự kiện theo tên, thời gian hoặc từ khóa.</t>
  </si>
  <si>
    <t>Tìm theo tên, chưa tối ưu hiệu năng</t>
  </si>
  <si>
    <t>Sprint 3</t>
  </si>
  <si>
    <t>[US-011] Xem danh sách người tham gia</t>
  </si>
  <si>
    <t>Hiển thị danh sách người đã đăng ký một sự kiện.</t>
  </si>
  <si>
    <t>Lấy dữ liệu từ DB, hiển thị OK</t>
  </si>
  <si>
    <t>[US-012] Xuất danh sách người tham gia</t>
  </si>
  <si>
    <t>Xuất danh sách người tham gia ra file (Excel/CSV).</t>
  </si>
  <si>
    <t>Chưa hoàn thiện export file (mới mức cơ bản)</t>
  </si>
  <si>
    <t>[US-009] Đăng ký tham gia sự kiện</t>
  </si>
  <si>
    <t>Người dùng đăng ký tham gia một sự kiện</t>
  </si>
  <si>
    <t>Thêm dữ liệu thành công, test API OK</t>
  </si>
  <si>
    <t>[US-010] Hủy đăng ký sự kiện</t>
  </si>
  <si>
    <t>Người dùng có thể hủy đăng ký trước đó.</t>
  </si>
  <si>
    <t>Xóa dữ liệu đăng ký, hoạt động ổn định</t>
  </si>
  <si>
    <t>[US-020] Thống kê số lượng người tham gia</t>
  </si>
  <si>
    <t>Hiển thị tổng số người tham gia từng sự kiện.</t>
  </si>
  <si>
    <t>Đếm số lượng từ DB, hiển thị dashboard</t>
  </si>
  <si>
    <t>[US-016] Gửi thông báo thay đổi sự kiện</t>
  </si>
  <si>
    <t>Gửi thông báo khi sự kiện có thay đổi.</t>
  </si>
  <si>
    <t>Chưa tích hợp email, mới mô phỏng logic</t>
  </si>
  <si>
    <t>[US-017] Xem thông tin cá nhân</t>
  </si>
  <si>
    <t>Người dùng xem thông tin cá nhân của mình.</t>
  </si>
  <si>
    <t>Lấy thông tin từ token, hiển thị OK</t>
  </si>
  <si>
    <t>[US-018] Cập nhật thông tin cá nhân</t>
  </si>
  <si>
    <t>Cho phép chỉnh sửa thông tin cá nhân.</t>
  </si>
  <si>
    <t>Update DB thành công, cần validate thêm</t>
  </si>
  <si>
    <t>[US-024] Ngăn đăng ký trùng sự kiện</t>
  </si>
  <si>
    <t>Không cho phép một người đăng ký nhiều lần cùng một sự kiện.</t>
  </si>
  <si>
    <t>Kiểm tra trùng trước khi insert</t>
  </si>
  <si>
    <t>[US-025] Xem lịch sử check-in</t>
  </si>
  <si>
    <t>Hiển thị lịch sử check-in của người dùng.</t>
  </si>
  <si>
    <t>Lưu và hiển thị lịch sử từ DB</t>
  </si>
  <si>
    <t>[US-013] Check-in sự kiện bằng QR</t>
  </si>
  <si>
    <t>Quét QR để xác nhận tham gia sự kiện.</t>
  </si>
  <si>
    <t>Xử lý check-in API, chưa tích hợp QR thực</t>
  </si>
  <si>
    <t>[US-014] Ngăn check-in trùng lặp</t>
  </si>
  <si>
    <t>Không cho phép check-in nhiều lần.</t>
  </si>
  <si>
    <t>Kiểm tra trước khi check-in</t>
  </si>
  <si>
    <t>[US-015] Gửi email xác nhận đăng ký</t>
  </si>
  <si>
    <t>Gửi email xác nhận khi đăng ký thành công.</t>
  </si>
  <si>
    <t>Nhuyễn Như Ý</t>
  </si>
  <si>
    <t>Chưa tích hợp email thật, mới mock</t>
  </si>
  <si>
    <t>Sprint Goal</t>
  </si>
  <si>
    <t>Thống kê nhanh</t>
  </si>
  <si>
    <t>Tổng số công việc:</t>
  </si>
  <si>
    <t>Đã hoàn thành:</t>
  </si>
  <si>
    <t>Chờ review:</t>
  </si>
  <si>
    <t>Độ ưu tiên cao:</t>
  </si>
  <si>
    <t>Tổng Story Points:</t>
  </si>
  <si>
    <t>Đang thực hiện:</t>
  </si>
  <si>
    <t>Bị chặn:</t>
  </si>
  <si>
    <t>Tỉ lệ đã hoàn thành: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</si>
</sst>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Times New Roman"/>
    </font>
    <font>
      <sz val="20"/>
      <color theme="1"/>
      <name val="Times New Roman"/>
    </font>
    <font>
      <sz val="11"/>
      <name val="Calibri"/>
    </font>
    <font>
      <sz val="13"/>
      <color theme="1"/>
      <name val="Times New Roman"/>
    </font>
    <font>
      <sz val="13"/>
      <color rgb="FFA31515"/>
      <name val="Times New Roman"/>
    </font>
    <font>
      <b/>
      <sz val="20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DADADA"/>
        <bgColor rgb="FFDADADA"/>
      </patternFill>
    </fill>
    <fill>
      <patternFill patternType="solid">
        <fgColor rgb="FFC5E0B3"/>
        <bgColor rgb="FFC5E0B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1" fillId="0" borderId="0" xfId="0" applyFont="1"/>
    <xf numFmtId="0" fontId="4" fillId="0" borderId="1" xfId="0" applyFont="1" applyBorder="1"/>
    <xf numFmtId="0" fontId="4" fillId="3" borderId="1" xfId="0" applyFont="1" applyFill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/>
    <xf numFmtId="0" fontId="4" fillId="0" borderId="9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4" fillId="0" borderId="9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0" fontId="4" fillId="5" borderId="5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11" xfId="0" applyFont="1" applyBorder="1"/>
    <xf numFmtId="0" fontId="4" fillId="6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C7" zoomScale="70" zoomScaleNormal="70" workbookViewId="0">
      <selection activeCell="M13" sqref="M13"/>
    </sheetView>
  </sheetViews>
  <sheetFormatPr defaultColWidth="14.42578125" defaultRowHeight="15" customHeight="1"/>
  <cols>
    <col min="1" max="1" width="15.28515625" customWidth="1"/>
    <col min="2" max="2" width="20.42578125" customWidth="1"/>
    <col min="3" max="3" width="49.140625" customWidth="1"/>
    <col min="4" max="4" width="38.140625" customWidth="1"/>
    <col min="5" max="5" width="24.42578125" customWidth="1"/>
    <col min="6" max="6" width="18.85546875" customWidth="1"/>
    <col min="7" max="7" width="20.7109375" customWidth="1"/>
    <col min="8" max="8" width="17.140625" customWidth="1"/>
    <col min="9" max="9" width="16.140625" customWidth="1"/>
    <col min="10" max="10" width="20.28515625" customWidth="1"/>
    <col min="11" max="11" width="42" customWidth="1"/>
    <col min="12" max="15" width="9.140625" customWidth="1"/>
    <col min="16" max="26" width="8.7109375" customWidth="1"/>
  </cols>
  <sheetData>
    <row r="1" spans="1:26" ht="26.25">
      <c r="A1" s="1"/>
      <c r="B1" s="28" t="s">
        <v>0</v>
      </c>
      <c r="C1" s="26"/>
      <c r="D1" s="26"/>
      <c r="E1" s="26"/>
      <c r="F1" s="26"/>
      <c r="G1" s="26"/>
      <c r="H1" s="26"/>
      <c r="I1" s="26"/>
      <c r="J1" s="26"/>
      <c r="K1" s="27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3"/>
      <c r="B2" s="4" t="s">
        <v>1</v>
      </c>
      <c r="C2" s="29" t="s">
        <v>2</v>
      </c>
      <c r="D2" s="26"/>
      <c r="E2" s="26"/>
      <c r="F2" s="27"/>
      <c r="G2" s="5" t="s">
        <v>3</v>
      </c>
      <c r="H2" s="29" t="s">
        <v>4</v>
      </c>
      <c r="I2" s="26"/>
      <c r="J2" s="26"/>
      <c r="K2" s="2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>
      <c r="A3" s="3"/>
      <c r="B3" s="5" t="s">
        <v>5</v>
      </c>
      <c r="C3" s="30">
        <v>46045</v>
      </c>
      <c r="D3" s="26"/>
      <c r="E3" s="26"/>
      <c r="F3" s="27"/>
      <c r="G3" s="5" t="s">
        <v>6</v>
      </c>
      <c r="H3" s="29" t="s">
        <v>7</v>
      </c>
      <c r="I3" s="26"/>
      <c r="J3" s="26"/>
      <c r="K3" s="2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>
      <c r="A4" s="3"/>
      <c r="B4" s="29"/>
      <c r="C4" s="26"/>
      <c r="D4" s="26"/>
      <c r="E4" s="26"/>
      <c r="F4" s="26"/>
      <c r="G4" s="26"/>
      <c r="H4" s="26"/>
      <c r="I4" s="26"/>
      <c r="J4" s="26"/>
      <c r="K4" s="2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>
      <c r="A5" s="3"/>
      <c r="B5" s="6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7" t="s">
        <v>16</v>
      </c>
      <c r="K5" s="7" t="s">
        <v>17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2.5" customHeight="1">
      <c r="A6" s="31" t="s">
        <v>18</v>
      </c>
      <c r="B6" s="6">
        <v>1</v>
      </c>
      <c r="C6" s="8" t="s">
        <v>19</v>
      </c>
      <c r="D6" s="9" t="s">
        <v>20</v>
      </c>
      <c r="E6" s="3" t="s">
        <v>21</v>
      </c>
      <c r="F6" s="3" t="s">
        <v>22</v>
      </c>
      <c r="G6" s="3">
        <v>3</v>
      </c>
      <c r="H6" s="10">
        <v>46094</v>
      </c>
      <c r="I6" s="10">
        <v>46101</v>
      </c>
      <c r="J6" s="3" t="s">
        <v>23</v>
      </c>
      <c r="K6" s="11" t="s">
        <v>24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9" customHeight="1">
      <c r="A7" s="21"/>
      <c r="B7" s="6">
        <v>2</v>
      </c>
      <c r="C7" s="3" t="s">
        <v>25</v>
      </c>
      <c r="D7" s="12" t="s">
        <v>26</v>
      </c>
      <c r="E7" s="3" t="s">
        <v>27</v>
      </c>
      <c r="F7" s="3" t="s">
        <v>22</v>
      </c>
      <c r="G7" s="3">
        <v>3</v>
      </c>
      <c r="H7" s="10">
        <v>46094</v>
      </c>
      <c r="I7" s="10">
        <v>46101</v>
      </c>
      <c r="J7" s="3" t="s">
        <v>23</v>
      </c>
      <c r="K7" s="13" t="s">
        <v>28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6">
      <c r="A8" s="21"/>
      <c r="B8" s="6">
        <v>3</v>
      </c>
      <c r="C8" s="14" t="s">
        <v>29</v>
      </c>
      <c r="D8" s="15" t="s">
        <v>30</v>
      </c>
      <c r="E8" s="3" t="s">
        <v>31</v>
      </c>
      <c r="F8" s="3" t="s">
        <v>32</v>
      </c>
      <c r="G8" s="3">
        <v>5</v>
      </c>
      <c r="H8" s="10">
        <v>46094</v>
      </c>
      <c r="I8" s="10">
        <v>46101</v>
      </c>
      <c r="J8" s="3" t="s">
        <v>23</v>
      </c>
      <c r="K8" s="13" t="s">
        <v>33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9.5">
      <c r="A9" s="21"/>
      <c r="B9" s="6">
        <v>4</v>
      </c>
      <c r="C9" s="3" t="s">
        <v>34</v>
      </c>
      <c r="D9" s="12" t="s">
        <v>35</v>
      </c>
      <c r="E9" s="3" t="s">
        <v>36</v>
      </c>
      <c r="F9" s="3" t="s">
        <v>22</v>
      </c>
      <c r="G9" s="3">
        <v>2</v>
      </c>
      <c r="H9" s="10">
        <v>46094</v>
      </c>
      <c r="I9" s="10">
        <v>46101</v>
      </c>
      <c r="J9" s="3" t="s">
        <v>23</v>
      </c>
      <c r="K9" s="13" t="s">
        <v>37</v>
      </c>
      <c r="L9" s="2"/>
      <c r="M9" s="2"/>
      <c r="N9" s="2"/>
      <c r="O9" s="1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6">
      <c r="A10" s="21"/>
      <c r="B10" s="6">
        <v>5</v>
      </c>
      <c r="C10" s="3" t="s">
        <v>38</v>
      </c>
      <c r="D10" s="15" t="s">
        <v>39</v>
      </c>
      <c r="E10" s="3" t="s">
        <v>7</v>
      </c>
      <c r="F10" s="3" t="s">
        <v>22</v>
      </c>
      <c r="G10" s="3">
        <v>5</v>
      </c>
      <c r="H10" s="10">
        <v>46094</v>
      </c>
      <c r="I10" s="10">
        <v>46101</v>
      </c>
      <c r="J10" s="3" t="s">
        <v>23</v>
      </c>
      <c r="K10" s="13" t="s">
        <v>40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9.5">
      <c r="A11" s="22"/>
      <c r="B11" s="6">
        <v>6</v>
      </c>
      <c r="C11" s="3" t="s">
        <v>41</v>
      </c>
      <c r="D11" s="15" t="s">
        <v>42</v>
      </c>
      <c r="E11" s="3" t="s">
        <v>27</v>
      </c>
      <c r="F11" s="3" t="s">
        <v>22</v>
      </c>
      <c r="G11" s="3">
        <v>2</v>
      </c>
      <c r="H11" s="10">
        <v>46094</v>
      </c>
      <c r="I11" s="10">
        <v>46101</v>
      </c>
      <c r="J11" s="3" t="s">
        <v>23</v>
      </c>
      <c r="K11" s="13" t="s">
        <v>43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3">
      <c r="A12" s="20" t="s">
        <v>44</v>
      </c>
      <c r="B12" s="6">
        <v>7</v>
      </c>
      <c r="C12" s="3" t="s">
        <v>45</v>
      </c>
      <c r="D12" s="15" t="s">
        <v>46</v>
      </c>
      <c r="E12" s="3" t="s">
        <v>21</v>
      </c>
      <c r="F12" s="3" t="s">
        <v>22</v>
      </c>
      <c r="G12" s="3">
        <v>5</v>
      </c>
      <c r="H12" s="10">
        <v>46101</v>
      </c>
      <c r="I12" s="10">
        <v>46108</v>
      </c>
      <c r="J12" s="3" t="s">
        <v>47</v>
      </c>
      <c r="K12" s="13" t="s">
        <v>48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3">
      <c r="A13" s="21"/>
      <c r="B13" s="6">
        <v>8</v>
      </c>
      <c r="C13" s="3" t="s">
        <v>49</v>
      </c>
      <c r="D13" s="15" t="s">
        <v>50</v>
      </c>
      <c r="E13" s="3" t="s">
        <v>7</v>
      </c>
      <c r="F13" s="3" t="s">
        <v>32</v>
      </c>
      <c r="G13" s="3">
        <v>3</v>
      </c>
      <c r="H13" s="10">
        <v>46101</v>
      </c>
      <c r="I13" s="10">
        <v>46108</v>
      </c>
      <c r="J13" s="3" t="s">
        <v>47</v>
      </c>
      <c r="K13" s="13" t="s">
        <v>51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3">
      <c r="A14" s="21"/>
      <c r="B14" s="6">
        <v>9</v>
      </c>
      <c r="C14" s="3" t="s">
        <v>52</v>
      </c>
      <c r="D14" s="15" t="s">
        <v>53</v>
      </c>
      <c r="E14" s="3" t="s">
        <v>27</v>
      </c>
      <c r="F14" s="3" t="s">
        <v>54</v>
      </c>
      <c r="G14" s="3">
        <v>3</v>
      </c>
      <c r="H14" s="10">
        <v>46101</v>
      </c>
      <c r="I14" s="10">
        <v>46108</v>
      </c>
      <c r="J14" s="3" t="s">
        <v>47</v>
      </c>
      <c r="K14" s="13" t="s">
        <v>55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3">
      <c r="A15" s="21"/>
      <c r="B15" s="6">
        <v>10</v>
      </c>
      <c r="C15" s="3" t="s">
        <v>56</v>
      </c>
      <c r="D15" s="15" t="s">
        <v>57</v>
      </c>
      <c r="E15" s="3" t="s">
        <v>31</v>
      </c>
      <c r="F15" s="3" t="s">
        <v>22</v>
      </c>
      <c r="G15" s="3">
        <v>3</v>
      </c>
      <c r="H15" s="10">
        <v>46101</v>
      </c>
      <c r="I15" s="10">
        <v>46108</v>
      </c>
      <c r="J15" s="3" t="s">
        <v>47</v>
      </c>
      <c r="K15" s="13" t="s">
        <v>58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3">
      <c r="A16" s="21"/>
      <c r="B16" s="6">
        <v>11</v>
      </c>
      <c r="C16" s="3" t="s">
        <v>59</v>
      </c>
      <c r="D16" s="15" t="s">
        <v>60</v>
      </c>
      <c r="E16" s="3" t="s">
        <v>36</v>
      </c>
      <c r="F16" s="3" t="s">
        <v>22</v>
      </c>
      <c r="G16" s="3">
        <v>3</v>
      </c>
      <c r="H16" s="10">
        <v>46101</v>
      </c>
      <c r="I16" s="10">
        <v>46108</v>
      </c>
      <c r="J16" s="3" t="s">
        <v>47</v>
      </c>
      <c r="K16" s="13" t="s">
        <v>61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3">
      <c r="A17" s="22"/>
      <c r="B17" s="6">
        <v>12</v>
      </c>
      <c r="C17" s="3" t="s">
        <v>62</v>
      </c>
      <c r="D17" s="15" t="s">
        <v>63</v>
      </c>
      <c r="E17" s="3" t="s">
        <v>21</v>
      </c>
      <c r="F17" s="3" t="s">
        <v>32</v>
      </c>
      <c r="G17" s="3">
        <v>3</v>
      </c>
      <c r="H17" s="10">
        <v>46101</v>
      </c>
      <c r="I17" s="10">
        <v>46108</v>
      </c>
      <c r="J17" s="3" t="s">
        <v>47</v>
      </c>
      <c r="K17" s="17" t="s">
        <v>64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3.75" customHeight="1">
      <c r="A18" s="23" t="s">
        <v>65</v>
      </c>
      <c r="B18" s="6">
        <v>13</v>
      </c>
      <c r="C18" s="3" t="s">
        <v>66</v>
      </c>
      <c r="D18" s="15" t="s">
        <v>67</v>
      </c>
      <c r="E18" s="3" t="s">
        <v>27</v>
      </c>
      <c r="F18" s="3" t="s">
        <v>22</v>
      </c>
      <c r="G18" s="3">
        <v>3</v>
      </c>
      <c r="H18" s="10"/>
      <c r="I18" s="10"/>
      <c r="J18" s="3"/>
      <c r="K18" s="17" t="s">
        <v>68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3">
      <c r="A19" s="21"/>
      <c r="B19" s="6">
        <v>14</v>
      </c>
      <c r="C19" s="3" t="s">
        <v>69</v>
      </c>
      <c r="D19" s="15" t="s">
        <v>70</v>
      </c>
      <c r="E19" s="3" t="s">
        <v>36</v>
      </c>
      <c r="F19" s="3" t="s">
        <v>32</v>
      </c>
      <c r="G19" s="3">
        <v>3</v>
      </c>
      <c r="H19" s="10"/>
      <c r="I19" s="10"/>
      <c r="J19" s="3"/>
      <c r="K19" s="13" t="s">
        <v>71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3">
      <c r="A20" s="21"/>
      <c r="B20" s="6">
        <v>15</v>
      </c>
      <c r="C20" s="3" t="s">
        <v>72</v>
      </c>
      <c r="D20" s="15" t="s">
        <v>73</v>
      </c>
      <c r="E20" s="3" t="s">
        <v>21</v>
      </c>
      <c r="F20" s="3" t="s">
        <v>22</v>
      </c>
      <c r="G20" s="3">
        <v>5</v>
      </c>
      <c r="H20" s="10"/>
      <c r="I20" s="10"/>
      <c r="J20" s="3"/>
      <c r="K20" s="13" t="s">
        <v>74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1"/>
      <c r="B21" s="6">
        <v>16</v>
      </c>
      <c r="C21" s="3" t="s">
        <v>75</v>
      </c>
      <c r="D21" s="15" t="s">
        <v>76</v>
      </c>
      <c r="E21" s="3" t="s">
        <v>36</v>
      </c>
      <c r="F21" s="3" t="s">
        <v>32</v>
      </c>
      <c r="G21" s="3">
        <v>3</v>
      </c>
      <c r="H21" s="10"/>
      <c r="I21" s="10"/>
      <c r="J21" s="3"/>
      <c r="K21" s="13" t="s">
        <v>77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1"/>
      <c r="B22" s="6">
        <v>17</v>
      </c>
      <c r="C22" s="3" t="s">
        <v>78</v>
      </c>
      <c r="D22" s="15" t="s">
        <v>79</v>
      </c>
      <c r="E22" s="3" t="s">
        <v>31</v>
      </c>
      <c r="F22" s="3" t="s">
        <v>32</v>
      </c>
      <c r="G22" s="3">
        <v>5</v>
      </c>
      <c r="H22" s="10"/>
      <c r="I22" s="10"/>
      <c r="J22" s="3"/>
      <c r="K22" s="13" t="s">
        <v>80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1"/>
      <c r="B23" s="6">
        <v>18</v>
      </c>
      <c r="C23" s="3" t="s">
        <v>81</v>
      </c>
      <c r="D23" s="15" t="s">
        <v>82</v>
      </c>
      <c r="E23" s="3" t="s">
        <v>31</v>
      </c>
      <c r="F23" s="3" t="s">
        <v>32</v>
      </c>
      <c r="G23" s="3">
        <v>3</v>
      </c>
      <c r="H23" s="10"/>
      <c r="I23" s="10"/>
      <c r="J23" s="3"/>
      <c r="K23" s="13" t="s">
        <v>83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1"/>
      <c r="B24" s="6">
        <v>19</v>
      </c>
      <c r="C24" s="3" t="s">
        <v>84</v>
      </c>
      <c r="D24" s="15" t="s">
        <v>85</v>
      </c>
      <c r="E24" s="3" t="s">
        <v>21</v>
      </c>
      <c r="F24" s="3" t="s">
        <v>54</v>
      </c>
      <c r="G24" s="3">
        <v>2</v>
      </c>
      <c r="H24" s="10"/>
      <c r="I24" s="10"/>
      <c r="J24" s="3"/>
      <c r="K24" s="17" t="s">
        <v>86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1"/>
      <c r="B25" s="6">
        <v>20</v>
      </c>
      <c r="C25" s="3" t="s">
        <v>87</v>
      </c>
      <c r="D25" s="15" t="s">
        <v>88</v>
      </c>
      <c r="E25" s="3" t="s">
        <v>21</v>
      </c>
      <c r="F25" s="3" t="s">
        <v>32</v>
      </c>
      <c r="G25" s="3">
        <v>3</v>
      </c>
      <c r="H25" s="10"/>
      <c r="I25" s="10"/>
      <c r="J25" s="3"/>
      <c r="K25" s="13" t="s">
        <v>89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3.75" customHeight="1">
      <c r="A26" s="21"/>
      <c r="B26" s="6">
        <v>21</v>
      </c>
      <c r="C26" s="3" t="s">
        <v>90</v>
      </c>
      <c r="D26" s="15" t="s">
        <v>91</v>
      </c>
      <c r="E26" s="3" t="s">
        <v>36</v>
      </c>
      <c r="F26" s="3" t="s">
        <v>22</v>
      </c>
      <c r="G26" s="3">
        <v>3</v>
      </c>
      <c r="H26" s="10"/>
      <c r="I26" s="10"/>
      <c r="J26" s="3"/>
      <c r="K26" s="17" t="s">
        <v>92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3.75" customHeight="1">
      <c r="A27" s="21"/>
      <c r="B27" s="6">
        <v>22</v>
      </c>
      <c r="C27" s="3" t="s">
        <v>93</v>
      </c>
      <c r="D27" s="15" t="s">
        <v>94</v>
      </c>
      <c r="E27" s="3" t="s">
        <v>27</v>
      </c>
      <c r="F27" s="3" t="s">
        <v>32</v>
      </c>
      <c r="G27" s="3">
        <v>3</v>
      </c>
      <c r="H27" s="10"/>
      <c r="I27" s="10"/>
      <c r="J27" s="3"/>
      <c r="K27" s="17" t="s">
        <v>95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1"/>
      <c r="B28" s="6">
        <v>23</v>
      </c>
      <c r="C28" s="3" t="s">
        <v>96</v>
      </c>
      <c r="D28" s="15" t="s">
        <v>97</v>
      </c>
      <c r="E28" s="3" t="s">
        <v>36</v>
      </c>
      <c r="F28" s="3" t="s">
        <v>32</v>
      </c>
      <c r="G28" s="3">
        <v>8</v>
      </c>
      <c r="H28" s="10"/>
      <c r="I28" s="10"/>
      <c r="J28" s="3"/>
      <c r="K28" s="13" t="s">
        <v>98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3.75" customHeight="1">
      <c r="A29" s="21"/>
      <c r="B29" s="6">
        <v>24</v>
      </c>
      <c r="C29" s="3" t="s">
        <v>99</v>
      </c>
      <c r="D29" s="15" t="s">
        <v>100</v>
      </c>
      <c r="E29" s="3" t="s">
        <v>7</v>
      </c>
      <c r="F29" s="3" t="s">
        <v>22</v>
      </c>
      <c r="G29" s="3">
        <v>3</v>
      </c>
      <c r="H29" s="10"/>
      <c r="I29" s="10"/>
      <c r="J29" s="3"/>
      <c r="K29" s="17" t="s">
        <v>101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2"/>
      <c r="B30" s="6">
        <v>25</v>
      </c>
      <c r="C30" s="3" t="s">
        <v>102</v>
      </c>
      <c r="D30" s="15" t="s">
        <v>103</v>
      </c>
      <c r="E30" s="3" t="s">
        <v>104</v>
      </c>
      <c r="F30" s="3" t="s">
        <v>22</v>
      </c>
      <c r="G30" s="3">
        <v>3</v>
      </c>
      <c r="H30" s="10"/>
      <c r="I30" s="10"/>
      <c r="J30" s="3"/>
      <c r="K30" s="17" t="s">
        <v>105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4" t="s">
        <v>106</v>
      </c>
      <c r="B31" s="6" t="s">
        <v>18</v>
      </c>
      <c r="C31" s="3"/>
      <c r="D31" s="3"/>
      <c r="E31" s="3"/>
      <c r="F31" s="3"/>
      <c r="G31" s="3"/>
      <c r="H31" s="6"/>
      <c r="I31" s="6"/>
      <c r="J31" s="3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1"/>
      <c r="B32" s="6" t="s">
        <v>44</v>
      </c>
      <c r="C32" s="3"/>
      <c r="D32" s="3"/>
      <c r="E32" s="3"/>
      <c r="F32" s="3"/>
      <c r="G32" s="3"/>
      <c r="H32" s="6"/>
      <c r="I32" s="6"/>
      <c r="J32" s="3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2"/>
      <c r="B33" s="6" t="s">
        <v>65</v>
      </c>
      <c r="C33" s="3"/>
      <c r="D33" s="3"/>
      <c r="E33" s="3"/>
      <c r="F33" s="3"/>
      <c r="G33" s="3"/>
      <c r="H33" s="6"/>
      <c r="I33" s="6"/>
      <c r="J33" s="3"/>
      <c r="K33" s="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/>
      <c r="B34" s="25" t="s">
        <v>107</v>
      </c>
      <c r="C34" s="26"/>
      <c r="D34" s="26"/>
      <c r="E34" s="26"/>
      <c r="F34" s="26"/>
      <c r="G34" s="26"/>
      <c r="H34" s="26"/>
      <c r="I34" s="26"/>
      <c r="J34" s="26"/>
      <c r="K34" s="2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3"/>
      <c r="B35" s="4" t="s">
        <v>108</v>
      </c>
      <c r="C35" s="18">
        <f>COUNTA(C6:C30)</f>
        <v>25</v>
      </c>
      <c r="D35" s="4" t="s">
        <v>109</v>
      </c>
      <c r="E35" s="6">
        <f>COUNTIF(J6:J30, "✅ Hoàn thành")</f>
        <v>6</v>
      </c>
      <c r="F35" s="4" t="s">
        <v>110</v>
      </c>
      <c r="G35" s="6">
        <f>COUNTIF(J6:J30, "👀 Chờ review")</f>
        <v>6</v>
      </c>
      <c r="H35" s="4" t="s">
        <v>111</v>
      </c>
      <c r="I35" s="7">
        <f>COUNTIF(F6:F30, "*🔴 Cao*")</f>
        <v>13</v>
      </c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3"/>
      <c r="B36" s="4" t="s">
        <v>112</v>
      </c>
      <c r="C36" s="7">
        <f>SUM(G6:G30)</f>
        <v>87</v>
      </c>
      <c r="D36" s="4" t="s">
        <v>113</v>
      </c>
      <c r="E36" s="6">
        <f>G38</f>
        <v>0</v>
      </c>
      <c r="F36" s="4" t="s">
        <v>114</v>
      </c>
      <c r="G36" s="6">
        <f>COUNTIF(J6:J30, "⚠️ Bị chặn")</f>
        <v>0</v>
      </c>
      <c r="H36" s="4" t="s">
        <v>115</v>
      </c>
      <c r="I36" s="19">
        <f>IF(C35=0, 0, E35/C35)</f>
        <v>0.24</v>
      </c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A12:A17"/>
    <mergeCell ref="A18:A30"/>
    <mergeCell ref="A31:A33"/>
    <mergeCell ref="B34:K34"/>
    <mergeCell ref="B1:K1"/>
    <mergeCell ref="C2:F2"/>
    <mergeCell ref="H2:K2"/>
    <mergeCell ref="C3:F3"/>
    <mergeCell ref="H3:K3"/>
    <mergeCell ref="B4:K4"/>
    <mergeCell ref="A6:A11"/>
  </mergeCells>
  <dataValidations count="3">
    <dataValidation type="list" allowBlank="1" showErrorMessage="1" sqref="G6:G30" xr:uid="{00000000-0002-0000-0000-000000000000}">
      <formula1>"1,2,3,5,8,13"</formula1>
    </dataValidation>
    <dataValidation type="list" allowBlank="1" showErrorMessage="1" sqref="J6:J32" xr:uid="{00000000-0002-0000-0000-000001000000}">
      <formula1>"📋 Chưa bắt đầu,🔄 Đang làm,👀 Chờ review,✅ Hoàn thành,⚠️ Bị chặn"</formula1>
    </dataValidation>
    <dataValidation type="list" allowBlank="1" showErrorMessage="1" sqref="F6:F32" xr:uid="{00000000-0002-0000-0000-000002000000}">
      <formula1>"🔴 Cao,🟡 Trung bình,🟢 Thấp"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2026-03-21T02:18:47Z</dcterms:created>
  <dcterms:modified xsi:type="dcterms:W3CDTF">2026-04-07T14:02:27Z</dcterms:modified>
</cp:coreProperties>
</file>